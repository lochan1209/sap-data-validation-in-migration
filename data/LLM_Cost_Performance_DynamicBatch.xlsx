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ochan_hiraman_accenture_com/Documents/Desktop/AI/SAP data solution/"/>
    </mc:Choice>
  </mc:AlternateContent>
  <xr:revisionPtr revIDLastSave="0" documentId="13_ncr:1_{8107C5A5-6C89-4823-B3CF-FCED9FED7DE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nputs" sheetId="1" r:id="rId1"/>
    <sheet name="Pricing" sheetId="2" r:id="rId2"/>
    <sheet name="Results" sheetId="3" r:id="rId3"/>
    <sheet name="Amethyst View" sheetId="4" r:id="rId4"/>
    <sheet name="Performance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F18" i="5" s="1"/>
  <c r="E17" i="5"/>
  <c r="F17" i="5" s="1"/>
  <c r="E16" i="5"/>
  <c r="F16" i="5" s="1"/>
  <c r="F15" i="5"/>
  <c r="E15" i="5"/>
  <c r="E14" i="5"/>
  <c r="E13" i="5"/>
  <c r="E12" i="5"/>
  <c r="F11" i="5"/>
  <c r="E11" i="5"/>
  <c r="B7" i="5"/>
  <c r="B6" i="5"/>
  <c r="B7" i="4"/>
  <c r="E6" i="4"/>
  <c r="B6" i="4"/>
  <c r="E5" i="4"/>
  <c r="B5" i="4"/>
  <c r="E4" i="4"/>
  <c r="A9" i="3"/>
  <c r="A8" i="3"/>
  <c r="A7" i="3"/>
  <c r="A6" i="3"/>
  <c r="A5" i="3"/>
  <c r="A4" i="3"/>
  <c r="A3" i="3"/>
  <c r="A2" i="3"/>
  <c r="D9" i="2"/>
  <c r="D8" i="2"/>
  <c r="D7" i="2"/>
  <c r="D6" i="2"/>
  <c r="D5" i="2"/>
  <c r="D4" i="2"/>
  <c r="D3" i="2"/>
  <c r="D2" i="2"/>
  <c r="E2" i="1"/>
  <c r="B8" i="4" s="1"/>
  <c r="E3" i="1" l="1"/>
  <c r="E4" i="1"/>
  <c r="C8" i="3" l="1"/>
  <c r="E8" i="3" s="1"/>
  <c r="C4" i="3"/>
  <c r="E4" i="3" s="1"/>
  <c r="C9" i="3"/>
  <c r="E9" i="3" s="1"/>
  <c r="C5" i="3"/>
  <c r="E5" i="3" s="1"/>
  <c r="C6" i="3"/>
  <c r="E6" i="3" s="1"/>
  <c r="C2" i="3"/>
  <c r="E2" i="3" s="1"/>
  <c r="C7" i="3"/>
  <c r="E7" i="3" s="1"/>
  <c r="B10" i="4"/>
  <c r="E9" i="4" s="1"/>
  <c r="C3" i="3"/>
  <c r="E3" i="3" s="1"/>
  <c r="B8" i="3"/>
  <c r="D8" i="3" s="1"/>
  <c r="F8" i="3" s="1"/>
  <c r="B4" i="3"/>
  <c r="D4" i="3" s="1"/>
  <c r="B6" i="3"/>
  <c r="D6" i="3" s="1"/>
  <c r="B2" i="3"/>
  <c r="D2" i="3" s="1"/>
  <c r="B9" i="3"/>
  <c r="D9" i="3" s="1"/>
  <c r="F9" i="3" s="1"/>
  <c r="B5" i="3"/>
  <c r="D5" i="3" s="1"/>
  <c r="B9" i="4"/>
  <c r="E8" i="4" s="1"/>
  <c r="E10" i="4" s="1"/>
  <c r="B7" i="3"/>
  <c r="D7" i="3" s="1"/>
  <c r="B3" i="3"/>
  <c r="D3" i="3" s="1"/>
  <c r="F3" i="3" s="1"/>
  <c r="E5" i="1"/>
  <c r="B8" i="5" s="1"/>
  <c r="F5" i="3" l="1"/>
  <c r="F6" i="3"/>
  <c r="F4" i="3"/>
  <c r="F2" i="3"/>
  <c r="D16" i="5"/>
  <c r="D13" i="5"/>
  <c r="D17" i="5"/>
  <c r="D18" i="5"/>
  <c r="F12" i="5"/>
  <c r="D15" i="5"/>
  <c r="D12" i="5"/>
  <c r="D14" i="5"/>
  <c r="F13" i="5"/>
  <c r="D11" i="5"/>
  <c r="F14" i="5"/>
  <c r="F7" i="3"/>
</calcChain>
</file>

<file path=xl/sharedStrings.xml><?xml version="1.0" encoding="utf-8"?>
<sst xmlns="http://schemas.openxmlformats.org/spreadsheetml/2006/main" count="72" uniqueCount="55">
  <si>
    <t>Parameter</t>
  </si>
  <si>
    <t>Value</t>
  </si>
  <si>
    <t>Total rows</t>
  </si>
  <si>
    <t>Rows hitting LLM</t>
  </si>
  <si>
    <t>Percent rows sent to LLM (0-100)</t>
  </si>
  <si>
    <t>Total Input Tokens</t>
  </si>
  <si>
    <t>Input tokens per row</t>
  </si>
  <si>
    <t>Total Output Tokens</t>
  </si>
  <si>
    <t>Output tokens per row</t>
  </si>
  <si>
    <t>Total Tokens (in+out)</t>
  </si>
  <si>
    <t>Use Azure Batch API discount (0/1)</t>
  </si>
  <si>
    <t>Amethyst agentic % rows to LLM (0-100)</t>
  </si>
  <si>
    <t>Batch TPS (tokens/sec)</t>
  </si>
  <si>
    <t>Batch Parallel factor</t>
  </si>
  <si>
    <t>Provider/Model</t>
  </si>
  <si>
    <t>Input $ per 1M</t>
  </si>
  <si>
    <t>Output $ per 1M</t>
  </si>
  <si>
    <t>Batch Factor (Azure only)</t>
  </si>
  <si>
    <t>Groq – Llama-4 Maverick</t>
  </si>
  <si>
    <t>Azure – GPT-4o</t>
  </si>
  <si>
    <t>Azure – GPT-4o-mini</t>
  </si>
  <si>
    <t>Azure – o3-mini</t>
  </si>
  <si>
    <t>Anthropic – Claude 3.5 Sonnet</t>
  </si>
  <si>
    <t>Anthropic – Claude 3 Haiku</t>
  </si>
  <si>
    <t>Google – Gemini 1.5 Pro</t>
  </si>
  <si>
    <t>Google – Gemini 1.5 Flash</t>
  </si>
  <si>
    <t>Input Tokens</t>
  </si>
  <si>
    <t>Output Tokens</t>
  </si>
  <si>
    <t>Input Cost</t>
  </si>
  <si>
    <t>Output Cost</t>
  </si>
  <si>
    <t>Total Cost (USD)</t>
  </si>
  <si>
    <t>Amethyst Studio – Agentic Routing Cost View</t>
  </si>
  <si>
    <t>Select model (use dropdown)</t>
  </si>
  <si>
    <t>Selected model pricing</t>
  </si>
  <si>
    <t>Routing % (from Inputs)</t>
  </si>
  <si>
    <t>Input tokens / row</t>
  </si>
  <si>
    <t>Batch factor</t>
  </si>
  <si>
    <t>Output tokens / row</t>
  </si>
  <si>
    <t>Total LLM rows</t>
  </si>
  <si>
    <t>Total tokens in</t>
  </si>
  <si>
    <t>Total tokens out</t>
  </si>
  <si>
    <t>Total Cost</t>
  </si>
  <si>
    <t>Performance Estimates per Model (Standard API + Dynamic Batch)</t>
  </si>
  <si>
    <t>Global defaults</t>
  </si>
  <si>
    <t>Default tokens/sec (Standard)</t>
  </si>
  <si>
    <t>Default parallel units (Standard)</t>
  </si>
  <si>
    <t>Total tokens (from Inputs)</t>
  </si>
  <si>
    <t>Tokens/sec (Std)</t>
  </si>
  <si>
    <t>Parallel units (Std)</t>
  </si>
  <si>
    <t>Std Est. time (min)</t>
  </si>
  <si>
    <t>Batch supported?</t>
  </si>
  <si>
    <t>Batch Est. time (min)</t>
  </si>
  <si>
    <t>Batch time now calculated dynamically: Total tokens ÷ (Batch TPS × Batch Parallel factor) ÷ 60 for Azure models.</t>
  </si>
  <si>
    <t>Edit Batch TPS and Parallel factor in Inputs to simulate Azure Batch performance.</t>
  </si>
  <si>
    <t>Non-Azure rows show '-' for Batch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</si>
</sst>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8" sqref="B8"/>
    </sheetView>
  </sheetViews>
  <sheetFormatPr defaultRowHeight="14.5" x14ac:dyDescent="0.35"/>
  <cols>
    <col min="1" max="9" width="32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 t="s">
        <v>2</v>
      </c>
      <c r="B2">
        <v>1400000</v>
      </c>
      <c r="D2" t="s">
        <v>3</v>
      </c>
      <c r="E2">
        <f>B2*B3/100</f>
        <v>1400000</v>
      </c>
    </row>
    <row r="3" spans="1:5" x14ac:dyDescent="0.35">
      <c r="A3" t="s">
        <v>4</v>
      </c>
      <c r="B3">
        <v>100</v>
      </c>
      <c r="D3" t="s">
        <v>5</v>
      </c>
      <c r="E3">
        <f>E2*B4</f>
        <v>1120000000</v>
      </c>
    </row>
    <row r="4" spans="1:5" x14ac:dyDescent="0.35">
      <c r="A4" t="s">
        <v>6</v>
      </c>
      <c r="B4">
        <v>800</v>
      </c>
      <c r="D4" t="s">
        <v>7</v>
      </c>
      <c r="E4">
        <f>E2*B5</f>
        <v>16800000</v>
      </c>
    </row>
    <row r="5" spans="1:5" x14ac:dyDescent="0.35">
      <c r="A5" t="s">
        <v>8</v>
      </c>
      <c r="B5">
        <v>12</v>
      </c>
      <c r="D5" t="s">
        <v>9</v>
      </c>
      <c r="E5">
        <f>E3+E4</f>
        <v>1136800000</v>
      </c>
    </row>
    <row r="6" spans="1:5" x14ac:dyDescent="0.35">
      <c r="A6" t="s">
        <v>10</v>
      </c>
      <c r="B6">
        <v>1</v>
      </c>
    </row>
    <row r="7" spans="1:5" x14ac:dyDescent="0.35">
      <c r="A7" t="s">
        <v>11</v>
      </c>
      <c r="B7">
        <v>100</v>
      </c>
    </row>
    <row r="8" spans="1:5" x14ac:dyDescent="0.35">
      <c r="A8" t="s">
        <v>12</v>
      </c>
      <c r="B8">
        <v>50000</v>
      </c>
    </row>
    <row r="9" spans="1:5" x14ac:dyDescent="0.35">
      <c r="A9" t="s">
        <v>13</v>
      </c>
      <c r="B9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cols>
    <col min="1" max="5" width="32" customWidth="1"/>
  </cols>
  <sheetData>
    <row r="1" spans="1:4" x14ac:dyDescent="0.3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5">
      <c r="A2" t="s">
        <v>18</v>
      </c>
      <c r="B2">
        <v>0.2</v>
      </c>
      <c r="C2">
        <v>0.6</v>
      </c>
      <c r="D2">
        <f>IF(Inputs!B6=1,IF(ISNUMBER(FIND("Azure",A2)),0.5,1),1)</f>
        <v>1</v>
      </c>
    </row>
    <row r="3" spans="1:4" x14ac:dyDescent="0.35">
      <c r="A3" t="s">
        <v>19</v>
      </c>
      <c r="B3">
        <v>2.5</v>
      </c>
      <c r="C3">
        <v>10</v>
      </c>
      <c r="D3">
        <f>IF(Inputs!B6=1,IF(ISNUMBER(FIND("Azure",A3)),0.5,1),1)</f>
        <v>0.5</v>
      </c>
    </row>
    <row r="4" spans="1:4" x14ac:dyDescent="0.35">
      <c r="A4" t="s">
        <v>20</v>
      </c>
      <c r="B4">
        <v>0.15</v>
      </c>
      <c r="C4">
        <v>0.6</v>
      </c>
      <c r="D4">
        <f>IF(Inputs!B6=1,IF(ISNUMBER(FIND("Azure",A4)),0.5,1),1)</f>
        <v>0.5</v>
      </c>
    </row>
    <row r="5" spans="1:4" x14ac:dyDescent="0.35">
      <c r="A5" t="s">
        <v>21</v>
      </c>
      <c r="B5">
        <v>1.1000000000000001</v>
      </c>
      <c r="C5">
        <v>4.4000000000000004</v>
      </c>
      <c r="D5">
        <f>IF(Inputs!B6=1,IF(ISNUMBER(FIND("Azure",A5)),0.5,1),1)</f>
        <v>0.5</v>
      </c>
    </row>
    <row r="6" spans="1:4" x14ac:dyDescent="0.35">
      <c r="A6" t="s">
        <v>22</v>
      </c>
      <c r="B6">
        <v>3</v>
      </c>
      <c r="C6">
        <v>15</v>
      </c>
      <c r="D6">
        <f>IF(Inputs!B6=1,IF(ISNUMBER(FIND("Azure",A6)),0.5,1),1)</f>
        <v>1</v>
      </c>
    </row>
    <row r="7" spans="1:4" x14ac:dyDescent="0.35">
      <c r="A7" t="s">
        <v>23</v>
      </c>
      <c r="B7">
        <v>0.8</v>
      </c>
      <c r="C7">
        <v>4</v>
      </c>
      <c r="D7">
        <f>IF(Inputs!B6=1,IF(ISNUMBER(FIND("Azure",A7)),0.5,1),1)</f>
        <v>1</v>
      </c>
    </row>
    <row r="8" spans="1:4" x14ac:dyDescent="0.35">
      <c r="A8" t="s">
        <v>24</v>
      </c>
      <c r="B8">
        <v>2.5</v>
      </c>
      <c r="C8">
        <v>15</v>
      </c>
      <c r="D8">
        <f>IF(Inputs!B6=1,IF(ISNUMBER(FIND("Azure",A8)),0.5,1),1)</f>
        <v>1</v>
      </c>
    </row>
    <row r="9" spans="1:4" x14ac:dyDescent="0.35">
      <c r="A9" t="s">
        <v>25</v>
      </c>
      <c r="B9">
        <v>0.1</v>
      </c>
      <c r="C9">
        <v>0.4</v>
      </c>
      <c r="D9">
        <f>IF(Inputs!B6=1,IF(ISNUMBER(FIND("Azure",A9)),0.5,1),1)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6" sqref="C16"/>
    </sheetView>
  </sheetViews>
  <sheetFormatPr defaultRowHeight="14.5" x14ac:dyDescent="0.35"/>
  <cols>
    <col min="1" max="7" width="30" customWidth="1"/>
  </cols>
  <sheetData>
    <row r="1" spans="1:6" x14ac:dyDescent="0.35">
      <c r="A1" s="1" t="s">
        <v>14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5">
      <c r="A2" t="str">
        <f>Pricing!A2</f>
        <v>Groq – Llama-4 Maverick</v>
      </c>
      <c r="B2">
        <f>Inputs!E3</f>
        <v>1120000000</v>
      </c>
      <c r="C2">
        <f>Inputs!E4</f>
        <v>16800000</v>
      </c>
      <c r="D2">
        <f>(B2/1000000)*Pricing!B2*Pricing!D2</f>
        <v>224</v>
      </c>
      <c r="E2">
        <f>(C2/1000000)*Pricing!C2*Pricing!D2</f>
        <v>10.08</v>
      </c>
      <c r="F2">
        <f t="shared" ref="F2:F9" si="0">D2+E2</f>
        <v>234.08</v>
      </c>
    </row>
    <row r="3" spans="1:6" x14ac:dyDescent="0.35">
      <c r="A3" t="str">
        <f>Pricing!A3</f>
        <v>Azure – GPT-4o</v>
      </c>
      <c r="B3">
        <f>Inputs!E3</f>
        <v>1120000000</v>
      </c>
      <c r="C3">
        <f>Inputs!E4</f>
        <v>16800000</v>
      </c>
      <c r="D3">
        <f>(B3/1000000)*Pricing!B3*Pricing!D3</f>
        <v>1400</v>
      </c>
      <c r="E3">
        <f>(C3/1000000)*Pricing!C3*Pricing!D3</f>
        <v>84</v>
      </c>
      <c r="F3">
        <f t="shared" si="0"/>
        <v>1484</v>
      </c>
    </row>
    <row r="4" spans="1:6" x14ac:dyDescent="0.35">
      <c r="A4" t="str">
        <f>Pricing!A4</f>
        <v>Azure – GPT-4o-mini</v>
      </c>
      <c r="B4">
        <f>Inputs!E3</f>
        <v>1120000000</v>
      </c>
      <c r="C4">
        <f>Inputs!E4</f>
        <v>16800000</v>
      </c>
      <c r="D4">
        <f>(B4/1000000)*Pricing!B4*Pricing!D4</f>
        <v>84</v>
      </c>
      <c r="E4">
        <f>(C4/1000000)*Pricing!C4*Pricing!D4</f>
        <v>5.04</v>
      </c>
      <c r="F4">
        <f t="shared" si="0"/>
        <v>89.04</v>
      </c>
    </row>
    <row r="5" spans="1:6" x14ac:dyDescent="0.35">
      <c r="A5" t="str">
        <f>Pricing!A5</f>
        <v>Azure – o3-mini</v>
      </c>
      <c r="B5">
        <f>Inputs!E3</f>
        <v>1120000000</v>
      </c>
      <c r="C5">
        <f>Inputs!E4</f>
        <v>16800000</v>
      </c>
      <c r="D5">
        <f>(B5/1000000)*Pricing!B5*Pricing!D5</f>
        <v>616</v>
      </c>
      <c r="E5">
        <f>(C5/1000000)*Pricing!C5*Pricing!D5</f>
        <v>36.960000000000008</v>
      </c>
      <c r="F5">
        <f t="shared" si="0"/>
        <v>652.96</v>
      </c>
    </row>
    <row r="6" spans="1:6" x14ac:dyDescent="0.35">
      <c r="A6" t="str">
        <f>Pricing!A6</f>
        <v>Anthropic – Claude 3.5 Sonnet</v>
      </c>
      <c r="B6">
        <f>Inputs!E3</f>
        <v>1120000000</v>
      </c>
      <c r="C6">
        <f>Inputs!E4</f>
        <v>16800000</v>
      </c>
      <c r="D6">
        <f>(B6/1000000)*Pricing!B6*Pricing!D6</f>
        <v>3360</v>
      </c>
      <c r="E6">
        <f>(C6/1000000)*Pricing!C6*Pricing!D6</f>
        <v>252</v>
      </c>
      <c r="F6">
        <f t="shared" si="0"/>
        <v>3612</v>
      </c>
    </row>
    <row r="7" spans="1:6" x14ac:dyDescent="0.35">
      <c r="A7" t="str">
        <f>Pricing!A7</f>
        <v>Anthropic – Claude 3 Haiku</v>
      </c>
      <c r="B7">
        <f>Inputs!E3</f>
        <v>1120000000</v>
      </c>
      <c r="C7">
        <f>Inputs!E4</f>
        <v>16800000</v>
      </c>
      <c r="D7">
        <f>(B7/1000000)*Pricing!B7*Pricing!D7</f>
        <v>896</v>
      </c>
      <c r="E7">
        <f>(C7/1000000)*Pricing!C7*Pricing!D7</f>
        <v>67.2</v>
      </c>
      <c r="F7">
        <f t="shared" si="0"/>
        <v>963.2</v>
      </c>
    </row>
    <row r="8" spans="1:6" x14ac:dyDescent="0.35">
      <c r="A8" t="str">
        <f>Pricing!A8</f>
        <v>Google – Gemini 1.5 Pro</v>
      </c>
      <c r="B8">
        <f>Inputs!E3</f>
        <v>1120000000</v>
      </c>
      <c r="C8">
        <f>Inputs!E4</f>
        <v>16800000</v>
      </c>
      <c r="D8">
        <f>(B8/1000000)*Pricing!B8*Pricing!D8</f>
        <v>2800</v>
      </c>
      <c r="E8">
        <f>(C8/1000000)*Pricing!C8*Pricing!D8</f>
        <v>252</v>
      </c>
      <c r="F8">
        <f t="shared" si="0"/>
        <v>3052</v>
      </c>
    </row>
    <row r="9" spans="1:6" x14ac:dyDescent="0.35">
      <c r="A9" t="str">
        <f>Pricing!A9</f>
        <v>Google – Gemini 1.5 Flash</v>
      </c>
      <c r="B9">
        <f>Inputs!E3</f>
        <v>1120000000</v>
      </c>
      <c r="C9">
        <f>Inputs!E4</f>
        <v>16800000</v>
      </c>
      <c r="D9">
        <f>(B9/1000000)*Pricing!B9*Pricing!D9</f>
        <v>112</v>
      </c>
      <c r="E9">
        <f>(C9/1000000)*Pricing!C9*Pricing!D9</f>
        <v>6.7200000000000006</v>
      </c>
      <c r="F9">
        <f t="shared" si="0"/>
        <v>118.72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tabSelected="1" workbookViewId="0">
      <selection activeCell="B5" sqref="B5"/>
    </sheetView>
  </sheetViews>
  <sheetFormatPr defaultRowHeight="14.5" x14ac:dyDescent="0.35"/>
  <cols>
    <col min="1" max="1" width="44" customWidth="1"/>
    <col min="2" max="2" width="36" customWidth="1"/>
    <col min="4" max="4" width="28" customWidth="1"/>
    <col min="5" max="5" width="22" customWidth="1"/>
  </cols>
  <sheetData>
    <row r="1" spans="1:5" x14ac:dyDescent="0.35">
      <c r="A1" s="1" t="s">
        <v>31</v>
      </c>
    </row>
    <row r="3" spans="1:5" x14ac:dyDescent="0.35">
      <c r="A3" t="s">
        <v>32</v>
      </c>
      <c r="B3" t="s">
        <v>19</v>
      </c>
      <c r="D3" t="s">
        <v>33</v>
      </c>
    </row>
    <row r="4" spans="1:5" x14ac:dyDescent="0.35">
      <c r="D4" t="s">
        <v>15</v>
      </c>
      <c r="E4">
        <f>INDEX(Pricing!$B$2:$B$9, MATCH(B3, Pricing!$A$2:$A$9, 0))</f>
        <v>2.5</v>
      </c>
    </row>
    <row r="5" spans="1:5" x14ac:dyDescent="0.35">
      <c r="A5" t="s">
        <v>34</v>
      </c>
      <c r="B5">
        <f>Inputs!B3</f>
        <v>100</v>
      </c>
      <c r="D5" t="s">
        <v>16</v>
      </c>
      <c r="E5">
        <f>INDEX(Pricing!$C$2:$C$9, MATCH(B3, Pricing!$A$2:$A$9, 0))</f>
        <v>10</v>
      </c>
    </row>
    <row r="6" spans="1:5" x14ac:dyDescent="0.35">
      <c r="A6" t="s">
        <v>35</v>
      </c>
      <c r="B6">
        <f>Inputs!B4</f>
        <v>800</v>
      </c>
      <c r="D6" t="s">
        <v>36</v>
      </c>
      <c r="E6">
        <f>INDEX(Pricing!$D$2:$D$9, MATCH(B3, Pricing!$A$2:$A$9, 0))</f>
        <v>0.5</v>
      </c>
    </row>
    <row r="7" spans="1:5" x14ac:dyDescent="0.35">
      <c r="A7" t="s">
        <v>37</v>
      </c>
      <c r="B7">
        <f>Inputs!B5</f>
        <v>12</v>
      </c>
    </row>
    <row r="8" spans="1:5" x14ac:dyDescent="0.35">
      <c r="A8" t="s">
        <v>38</v>
      </c>
      <c r="B8">
        <f>Inputs!E2</f>
        <v>1400000</v>
      </c>
      <c r="D8" t="s">
        <v>28</v>
      </c>
      <c r="E8">
        <f>(B9/1000000)*E4*E6</f>
        <v>1400</v>
      </c>
    </row>
    <row r="9" spans="1:5" x14ac:dyDescent="0.35">
      <c r="A9" t="s">
        <v>39</v>
      </c>
      <c r="B9">
        <f>Inputs!E3</f>
        <v>1120000000</v>
      </c>
      <c r="D9" t="s">
        <v>29</v>
      </c>
      <c r="E9">
        <f>(B10/1000000)*E5*E6</f>
        <v>84</v>
      </c>
    </row>
    <row r="10" spans="1:5" x14ac:dyDescent="0.35">
      <c r="A10" t="s">
        <v>40</v>
      </c>
      <c r="B10">
        <f>Inputs!E4</f>
        <v>16800000</v>
      </c>
      <c r="D10" t="s">
        <v>41</v>
      </c>
      <c r="E10">
        <f>E8+E9</f>
        <v>1484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Pricing!$A$2:$A$9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opLeftCell="A4" workbookViewId="0">
      <selection activeCell="H13" sqref="H13"/>
    </sheetView>
  </sheetViews>
  <sheetFormatPr defaultRowHeight="14.5" x14ac:dyDescent="0.35"/>
  <cols>
    <col min="1" max="1" width="34" customWidth="1"/>
    <col min="2" max="6" width="22" customWidth="1"/>
  </cols>
  <sheetData>
    <row r="1" spans="1:6" x14ac:dyDescent="0.35">
      <c r="A1" s="1" t="s">
        <v>42</v>
      </c>
    </row>
    <row r="3" spans="1:6" x14ac:dyDescent="0.35">
      <c r="A3" s="1" t="s">
        <v>43</v>
      </c>
    </row>
    <row r="4" spans="1:6" x14ac:dyDescent="0.35">
      <c r="A4" t="s">
        <v>44</v>
      </c>
      <c r="B4">
        <v>1000</v>
      </c>
    </row>
    <row r="5" spans="1:6" x14ac:dyDescent="0.35">
      <c r="A5" t="s">
        <v>45</v>
      </c>
      <c r="B5">
        <v>10</v>
      </c>
    </row>
    <row r="6" spans="1:6" x14ac:dyDescent="0.35">
      <c r="A6" t="s">
        <v>12</v>
      </c>
      <c r="B6">
        <f>Inputs!B7</f>
        <v>100</v>
      </c>
    </row>
    <row r="7" spans="1:6" x14ac:dyDescent="0.35">
      <c r="A7" t="s">
        <v>13</v>
      </c>
      <c r="B7">
        <f>Inputs!B8</f>
        <v>50000</v>
      </c>
    </row>
    <row r="8" spans="1:6" x14ac:dyDescent="0.35">
      <c r="A8" t="s">
        <v>46</v>
      </c>
      <c r="B8">
        <f>Inputs!E5</f>
        <v>1136800000</v>
      </c>
    </row>
    <row r="10" spans="1:6" x14ac:dyDescent="0.35">
      <c r="A10" s="1" t="s">
        <v>14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 spans="1:6" x14ac:dyDescent="0.35">
      <c r="A11" t="s">
        <v>18</v>
      </c>
      <c r="B11">
        <v>300000</v>
      </c>
      <c r="C11">
        <v>10</v>
      </c>
      <c r="D11">
        <f>B8/(B11*C11)/60</f>
        <v>6.315555555555556</v>
      </c>
      <c r="E11" t="str">
        <f t="shared" ref="E11:E18" si="0">IF(ISNUMBER(FIND("Azure",A11)),"Yes","No")</f>
        <v>No</v>
      </c>
      <c r="F11" t="str">
        <f>IF(E11="Yes",B8/(B6*B7)/60,"-")</f>
        <v>-</v>
      </c>
    </row>
    <row r="12" spans="1:6" x14ac:dyDescent="0.35">
      <c r="A12" t="s">
        <v>19</v>
      </c>
      <c r="B12">
        <v>2000</v>
      </c>
      <c r="C12">
        <v>10</v>
      </c>
      <c r="D12">
        <f>B8/(B12*C12)/60</f>
        <v>947.33333333333337</v>
      </c>
      <c r="E12" t="str">
        <f t="shared" si="0"/>
        <v>Yes</v>
      </c>
      <c r="F12">
        <f>IF(E12="Yes",B8/(B6*B7)/60,"-")</f>
        <v>3.7893333333333334</v>
      </c>
    </row>
    <row r="13" spans="1:6" x14ac:dyDescent="0.35">
      <c r="A13" t="s">
        <v>20</v>
      </c>
      <c r="B13">
        <v>1500</v>
      </c>
      <c r="C13">
        <v>10</v>
      </c>
      <c r="D13">
        <f>B8/(B13*C13)/60</f>
        <v>1263.1111111111111</v>
      </c>
      <c r="E13" t="str">
        <f t="shared" si="0"/>
        <v>Yes</v>
      </c>
      <c r="F13">
        <f>IF(E13="Yes",B8/(B6*B7)/60,"-")</f>
        <v>3.7893333333333334</v>
      </c>
    </row>
    <row r="14" spans="1:6" x14ac:dyDescent="0.35">
      <c r="A14" t="s">
        <v>21</v>
      </c>
      <c r="B14">
        <v>1200</v>
      </c>
      <c r="C14">
        <v>10</v>
      </c>
      <c r="D14">
        <f>B8/(B14*C14)/60</f>
        <v>1578.8888888888889</v>
      </c>
      <c r="E14" t="str">
        <f t="shared" si="0"/>
        <v>Yes</v>
      </c>
      <c r="F14">
        <f>IF(E14="Yes",B8/(B6*B7)/60,"-")</f>
        <v>3.7893333333333334</v>
      </c>
    </row>
    <row r="15" spans="1:6" x14ac:dyDescent="0.35">
      <c r="A15" t="s">
        <v>22</v>
      </c>
      <c r="B15">
        <v>1200</v>
      </c>
      <c r="C15">
        <v>10</v>
      </c>
      <c r="D15">
        <f>B8/(B15*C15)/60</f>
        <v>1578.8888888888889</v>
      </c>
      <c r="E15" t="str">
        <f t="shared" si="0"/>
        <v>No</v>
      </c>
      <c r="F15" t="str">
        <f>IF(E15="Yes",B8/(B6*B7)/60,"-")</f>
        <v>-</v>
      </c>
    </row>
    <row r="16" spans="1:6" x14ac:dyDescent="0.35">
      <c r="A16" t="s">
        <v>23</v>
      </c>
      <c r="B16">
        <v>2500</v>
      </c>
      <c r="C16">
        <v>10</v>
      </c>
      <c r="D16">
        <f>B8/(B16*C16)/60</f>
        <v>757.86666666666667</v>
      </c>
      <c r="E16" t="str">
        <f t="shared" si="0"/>
        <v>No</v>
      </c>
      <c r="F16" t="str">
        <f>IF(E16="Yes",B8/(B6*B7)/60,"-")</f>
        <v>-</v>
      </c>
    </row>
    <row r="17" spans="1:6" x14ac:dyDescent="0.35">
      <c r="A17" t="s">
        <v>24</v>
      </c>
      <c r="B17">
        <v>1800</v>
      </c>
      <c r="C17">
        <v>10</v>
      </c>
      <c r="D17">
        <f>B8/(B17*C17)/60</f>
        <v>1052.5925925925926</v>
      </c>
      <c r="E17" t="str">
        <f t="shared" si="0"/>
        <v>No</v>
      </c>
      <c r="F17" t="str">
        <f>IF(E17="Yes",B8/(B6*B7)/60,"-")</f>
        <v>-</v>
      </c>
    </row>
    <row r="18" spans="1:6" x14ac:dyDescent="0.35">
      <c r="A18" t="s">
        <v>25</v>
      </c>
      <c r="B18">
        <v>3000</v>
      </c>
      <c r="C18">
        <v>10</v>
      </c>
      <c r="D18">
        <f>B8/(B18*C18)/60</f>
        <v>631.55555555555554</v>
      </c>
      <c r="E18" t="str">
        <f t="shared" si="0"/>
        <v>No</v>
      </c>
      <c r="F18" t="str">
        <f>IF(E18="Yes",B8/(B6*B7)/60,"-")</f>
        <v>-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2" sqref="A2"/>
    </sheetView>
  </sheetViews>
  <sheetFormatPr defaultRowHeight="14.5" x14ac:dyDescent="0.35"/>
  <cols>
    <col min="1" max="1" width="110" customWidth="1"/>
  </cols>
  <sheetData>
    <row r="1" spans="1:1" x14ac:dyDescent="0.35">
      <c r="A1" t="s">
        <v>52</v>
      </c>
    </row>
    <row r="2" spans="1:1" x14ac:dyDescent="0.35">
      <c r="A2" t="s">
        <v>53</v>
      </c>
    </row>
    <row r="3" spans="1:1" x14ac:dyDescent="0.35">
      <c r="A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Pricing</vt:lpstr>
      <vt:lpstr>Results</vt:lpstr>
      <vt:lpstr>Amethyst View</vt:lpstr>
      <vt:lpstr>Performance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Hiraman, Lochan</cp:lastModifiedBy>
  <dcterms:created xsi:type="dcterms:W3CDTF">2025-12-05T07:59:51Z</dcterms:created>
  <dcterms:modified xsi:type="dcterms:W3CDTF">2025-12-15T08:59:04Z</dcterms:modified>
</cp:coreProperties>
</file>